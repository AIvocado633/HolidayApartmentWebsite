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a65fedfa99f024f/Desktop/ProgrammersPlayground/git/HolidayApartmentWebsite/vorlagen/"/>
    </mc:Choice>
  </mc:AlternateContent>
  <xr:revisionPtr revIDLastSave="0" documentId="11_C838816BBE6949F291D95FE02F3AD3169646C532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Anleitung" sheetId="1" r:id="rId1"/>
    <sheet name="Rechnung" sheetId="2" r:id="rId2"/>
    <sheet name="Beispiel" sheetId="3" r:id="rId3"/>
  </sheets>
  <definedNames>
    <definedName name="_xlnm.Print_Area" localSheetId="2">Beispiel!$A$1:$G$51</definedName>
    <definedName name="_xlnm.Print_Area" localSheetId="1">Rechnung!$A$1:$G$51</definedName>
  </definedNames>
  <calcPr calcId="191029"/>
</workbook>
</file>

<file path=xl/calcChain.xml><?xml version="1.0" encoding="utf-8"?>
<calcChain xmlns="http://schemas.openxmlformats.org/spreadsheetml/2006/main">
  <c r="C44" i="3" l="1"/>
  <c r="B44" i="3"/>
  <c r="C43" i="3"/>
  <c r="B43" i="3"/>
  <c r="C42" i="3"/>
  <c r="B42" i="3"/>
  <c r="C41" i="3"/>
  <c r="B41" i="3"/>
  <c r="B40" i="3"/>
  <c r="F33" i="3"/>
  <c r="E32" i="3"/>
  <c r="E30" i="3"/>
  <c r="D26" i="3"/>
  <c r="C26" i="3"/>
  <c r="C32" i="3" s="1"/>
  <c r="F25" i="3"/>
  <c r="F24" i="3"/>
  <c r="B20" i="3"/>
  <c r="B18" i="3"/>
  <c r="F15" i="3"/>
  <c r="C8" i="3"/>
  <c r="C44" i="2"/>
  <c r="B44" i="2"/>
  <c r="C43" i="2"/>
  <c r="B43" i="2"/>
  <c r="C42" i="2"/>
  <c r="B42" i="2"/>
  <c r="C41" i="2"/>
  <c r="B41" i="2"/>
  <c r="B40" i="2"/>
  <c r="F33" i="2"/>
  <c r="E32" i="2"/>
  <c r="E30" i="2"/>
  <c r="D26" i="2"/>
  <c r="C26" i="2"/>
  <c r="C30" i="2" s="1"/>
  <c r="F30" i="2" s="1"/>
  <c r="F25" i="2"/>
  <c r="F24" i="2"/>
  <c r="B20" i="2"/>
  <c r="B18" i="2"/>
  <c r="F15" i="2"/>
  <c r="C8" i="2"/>
  <c r="F32" i="3" l="1"/>
  <c r="C30" i="3"/>
  <c r="F30" i="3" s="1"/>
  <c r="F34" i="3" s="1"/>
  <c r="B32" i="2"/>
  <c r="C32" i="2"/>
  <c r="F32" i="2" s="1"/>
  <c r="F34" i="2" s="1"/>
  <c r="B32" i="3"/>
</calcChain>
</file>

<file path=xl/sharedStrings.xml><?xml version="1.0" encoding="utf-8"?>
<sst xmlns="http://schemas.openxmlformats.org/spreadsheetml/2006/main" count="116" uniqueCount="77">
  <si>
    <t>Rechnungsvorlage</t>
  </si>
  <si>
    <t>Ferienwohnung Zum Biebertal · So entsteht in zwei Minuten die Rechnung zu einer Buchung.</t>
  </si>
  <si>
    <t>1 · Einmalig ausfüllen</t>
  </si>
  <si>
    <t>Diese Angaben stehen auf jeder Rechnung. Einmal eintragen – danach nie wieder anfassen. Hell hinterlegt sind überall die Felder zum Ausfüllen.</t>
  </si>
  <si>
    <t>Kontoinhaber</t>
  </si>
  <si>
    <t>Stefan Weber</t>
  </si>
  <si>
    <t>IBAN</t>
  </si>
  <si>
    <t>DE00 0000 0000 0000 0000 00</t>
  </si>
  <si>
    <t>BIC (optional)</t>
  </si>
  <si>
    <t>Bank</t>
  </si>
  <si>
    <t>Name der Bank</t>
  </si>
  <si>
    <t>Steuernummer</t>
  </si>
  <si>
    <t>000/000/00000</t>
  </si>
  <si>
    <t>Die Steuernummer gehört nach § 14 UStG auf jede Rechnung über 250 € – sie steht auf jedem Schreiben des Finanzamts. Solange dort 000/000/00000 und die Null-IBAN stehen, ist die Rechnung unvollständig.</t>
  </si>
  <si>
    <t>2 · Für jede Buchung</t>
  </si>
  <si>
    <t>·   Reiter „Rechnung“ öffnen und die hell hinterlegten Felder ausfüllen: Name und Adresse des Gastes, Rechnungsnummer, Rechnungsdatum, Zahlungsweise, Anreise, Abreise und Personenzahl.</t>
  </si>
  <si>
    <t>·   Die Anrede entsteht aus dem Namensfeld, also „Guten Tag Familie Müller,“. Den Namen dort so schreiben, wie der Gast angesprochen werden soll – etwa „Familie Müller“, „Herr Berg“ oder „Frau Dr. Klein“.</t>
  </si>
  <si>
    <t>·   Alles andere rechnet sich selbst: Nächte, Beträge, Gesamtsumme, Zahlungsziel und der Text im Zahlungsteil. Diese Zellen bitte nicht überschreiben.</t>
  </si>
  <si>
    <t>·   Rechnungsnummer: Jahr und laufende Nummer, also 2026-001, 2026-002, 2026-003. Jede Nummer nur ein einziges Mal verwenden und keine überspringen – lückenlos fortlaufend verlangt es das Finanzamt.</t>
  </si>
  <si>
    <t>·   Zahlungsweise über das Auswahlfeld wählen. Bei „Barzahlung bei Anreise“ verschwinden die Kontodaten von der Rechnung, bei „Überweisung“ stehen sie darauf.</t>
  </si>
  <si>
    <t>·   Fertig? Datei → Exportieren → PDF erstellen, und das PDF an den Gast mailen. Dateiname am besten mit Rechnungsnummer und Name, also etwa 2026-001-Mueller.pdf.</t>
  </si>
  <si>
    <t>·   Danach das PDF ablegen oder die Datei unter neuem Namen speichern – Rechnungen müssen zehn Jahre aufbewahrt werden.</t>
  </si>
  <si>
    <t>·   Der Reiter „Beispiel“ zeigt dieselbe Rechnung fertig ausgefüllt, zum Vergleichen. Dort bitte nichts ändern.</t>
  </si>
  <si>
    <t>3 · Preise und Zeiten</t>
  </si>
  <si>
    <t>Nur ändern, wenn sich der Preis wirklich ändert – und dann bitte auch auf der Website: dieselben Zahlen stehen in den AGB und im Preiskalender auf ferienwohnungzumbiebertal.de. Die Kurtaxe wird nach Übernachtungen gerechnet, also 2 Personen × 7 Nächte = 14,00 €.</t>
  </si>
  <si>
    <t>Preis pro Nacht</t>
  </si>
  <si>
    <t>Kurtaxe pro Person und Tag</t>
  </si>
  <si>
    <t>Zahlungsziel in Tagen</t>
  </si>
  <si>
    <t>Anreise ab</t>
  </si>
  <si>
    <t>15:00 Uhr</t>
  </si>
  <si>
    <t>Abreise bis</t>
  </si>
  <si>
    <t>10:00 Uhr</t>
  </si>
  <si>
    <t>Zahlbar innerhalb von 14 Tagen ab Rechnungsdatum, spätestens am Anreisetag – so steht es in den AGB. Die Rechnung rechnet das Zahlungsziel selbst aus und nimmt automatisch das frühere der beiden Daten.</t>
  </si>
  <si>
    <t>4 · Sonderfälle</t>
  </si>
  <si>
    <t>Im Preis enthalten sind Endreinigung, Bettwäsche und Handtücher, Strom, Wasser, Heizung und WLAN – eine gesonderte Reinigungsgebühr gibt es nicht, und die Wohnung ist für höchstens 4 Personen ausgelegt. Braucht eine Buchung ausnahmsweise eine weitere Position, dafür ist in der Tabelle unter der Kurtaxe eine freie Zeile: Text, Anzahl und Einzelpreis eintragen, die Summe rechnet sich mit.</t>
  </si>
  <si>
    <t>Ferienwohnung Zum Biebertal</t>
  </si>
  <si>
    <t>Kleinsassen · Rhön</t>
  </si>
  <si>
    <t>ferienwohnungzumbiebertal.de</t>
  </si>
  <si>
    <t>Sandroth 15</t>
  </si>
  <si>
    <t>36145 Hofbieber/Kleinsassen</t>
  </si>
  <si>
    <t>Telefon +49 6657 1816</t>
  </si>
  <si>
    <t>FerienwohnungZumBiebertal@gmail.com</t>
  </si>
  <si>
    <t>Stefan Weber · Sandroth 15 · 36145 Hofbieber/Kleinsassen</t>
  </si>
  <si>
    <t>[Vorname Nachname]</t>
  </si>
  <si>
    <t>Rechnungsnummer</t>
  </si>
  <si>
    <t>[Straße und Hausnummer]</t>
  </si>
  <si>
    <t>Rechnungsdatum</t>
  </si>
  <si>
    <t>[PLZ und Ort]</t>
  </si>
  <si>
    <t>Zahlungsweise</t>
  </si>
  <si>
    <t>Überweisung</t>
  </si>
  <si>
    <t>[Land – nur wenn nicht Deutschland]</t>
  </si>
  <si>
    <t>Zahlbar bis</t>
  </si>
  <si>
    <t>vielen Dank für Ihre Buchung. Für den unten genannten Aufenthalt stellen wir Ihnen wie vereinbart in Rechnung:</t>
  </si>
  <si>
    <t>AUFENTHALT</t>
  </si>
  <si>
    <t>Anreise</t>
  </si>
  <si>
    <t>Abreise</t>
  </si>
  <si>
    <t>Nächte</t>
  </si>
  <si>
    <t>Personen</t>
  </si>
  <si>
    <t>Position</t>
  </si>
  <si>
    <t>Anzahl</t>
  </si>
  <si>
    <t>Einzelpreis</t>
  </si>
  <si>
    <t>Betrag</t>
  </si>
  <si>
    <t>Übernachtung in der Ferienwohnung</t>
  </si>
  <si>
    <t>inklusive Endreinigung, Bettwäsche und Handtücher, Strom, Wasser, Heizung und WLAN</t>
  </si>
  <si>
    <t>Gesamtbetrag</t>
  </si>
  <si>
    <t>Kleinunternehmer gemäß § 19 UStG – es wird keine Umsatzsteuer berechnet und daher in dieser Rechnung nicht ausgewiesen.</t>
  </si>
  <si>
    <t>Die Kurtaxe erheben wir im Namen der Gemeinde Hofbieber und führen sie dorthin ab; sie ist nicht Teil des Übernachtungspreises.</t>
  </si>
  <si>
    <t>ZAHLUNG</t>
  </si>
  <si>
    <t>Für diesen Aufenthalt gelten unsere Allgemeinen Geschäftsbedingungen unter ferienwohnungzumbiebertal.de/agb – dort stehen auch die Stornierungsbedingungen. Fragen zu dieser Rechnung? Ein Anruf oder eine E-Mail genügt.</t>
  </si>
  <si>
    <t>Wir freuen uns auf Ihren Besuch in Kleinsassen!</t>
  </si>
  <si>
    <t>Mit freundlichen Grüßen</t>
  </si>
  <si>
    <t>Stefan Weber · Ferienwohnung Zum Biebertal</t>
  </si>
  <si>
    <t>BEISPIEL – hier bitte nichts ändern. Rechnungen entstehen im Reiter „Rechnung“.</t>
  </si>
  <si>
    <t>Familie Müller</t>
  </si>
  <si>
    <t>2026-001</t>
  </si>
  <si>
    <t>Lindenstraße 14</t>
  </si>
  <si>
    <t>60313 Frankfurt am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</si>
</sst>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dd\.mm\.yyyy"/>
  </numFmts>
  <fonts count="21" x14ac:knownFonts="1">
    <font>
      <sz val="11"/>
      <color theme="1"/>
      <name val="Calibri"/>
      <family val="2"/>
      <scheme val="minor"/>
    </font>
    <font>
      <b/>
      <sz val="16"/>
      <color rgb="FF0F172A"/>
      <name val="Arial"/>
    </font>
    <font>
      <sz val="10"/>
      <color rgb="FF9A7F5A"/>
      <name val="Arial"/>
    </font>
    <font>
      <b/>
      <sz val="11.5"/>
      <color rgb="FF7C6040"/>
      <name val="Arial"/>
    </font>
    <font>
      <sz val="9"/>
      <color rgb="FF334155"/>
      <name val="Arial"/>
    </font>
    <font>
      <sz val="10"/>
      <color rgb="FF334155"/>
      <name val="Arial"/>
    </font>
    <font>
      <b/>
      <sz val="10"/>
      <color rgb="FF0F172A"/>
      <name val="Arial"/>
    </font>
    <font>
      <sz val="9.5"/>
      <color rgb="FF334155"/>
      <name val="Arial"/>
    </font>
    <font>
      <b/>
      <sz val="18"/>
      <color rgb="FF0F172A"/>
      <name val="Arial"/>
    </font>
    <font>
      <sz val="9"/>
      <color rgb="FF9A7F5A"/>
      <name val="Arial"/>
    </font>
    <font>
      <b/>
      <sz val="9"/>
      <color rgb="FF334155"/>
      <name val="Arial"/>
    </font>
    <font>
      <sz val="7.5"/>
      <color rgb="FF9A7F5A"/>
      <name val="Arial"/>
    </font>
    <font>
      <b/>
      <sz val="11"/>
      <color rgb="FF9A7F5A"/>
      <name val="Arial"/>
    </font>
    <font>
      <sz val="10"/>
      <color rgb="FF0F172A"/>
      <name val="Arial"/>
    </font>
    <font>
      <b/>
      <sz val="15"/>
      <color rgb="FF0F172A"/>
      <name val="Arial"/>
    </font>
    <font>
      <b/>
      <sz val="9"/>
      <color rgb="FF7C6040"/>
      <name val="Arial"/>
    </font>
    <font>
      <b/>
      <sz val="8.5"/>
      <color rgb="FFB91C1C"/>
      <name val="Arial"/>
    </font>
    <font>
      <sz val="8.5"/>
      <color rgb="FF9A7F5A"/>
      <name val="Arial"/>
    </font>
    <font>
      <b/>
      <sz val="12"/>
      <color rgb="FF0F172A"/>
      <name val="Arial"/>
    </font>
    <font>
      <b/>
      <sz val="9"/>
      <color rgb="FF0F172A"/>
      <name val="Arial"/>
    </font>
    <font>
      <b/>
      <sz val="11"/>
      <color rgb="FF0F172A"/>
      <name val="Arial"/>
    </font>
  </fonts>
  <fills count="4">
    <fill>
      <patternFill patternType="none"/>
    </fill>
    <fill>
      <patternFill patternType="gray125"/>
    </fill>
    <fill>
      <patternFill patternType="solid">
        <fgColor rgb="FFFDF8F0"/>
      </patternFill>
    </fill>
    <fill>
      <patternFill patternType="solid">
        <fgColor rgb="FFF5EFE3"/>
      </patternFill>
    </fill>
  </fills>
  <borders count="6">
    <border>
      <left/>
      <right/>
      <top/>
      <bottom/>
      <diagonal/>
    </border>
    <border>
      <left/>
      <right/>
      <top/>
      <bottom style="thin">
        <color rgb="FFE8DCC8"/>
      </bottom>
      <diagonal/>
    </border>
    <border>
      <left/>
      <right/>
      <top/>
      <bottom style="thin">
        <color rgb="FFD4C4A8"/>
      </bottom>
      <diagonal/>
    </border>
    <border>
      <left/>
      <right/>
      <top/>
      <bottom style="thin">
        <color rgb="FFD4C4A8"/>
      </bottom>
      <diagonal/>
    </border>
    <border>
      <left/>
      <right/>
      <top style="thin">
        <color rgb="FFD4C4A8"/>
      </top>
      <bottom style="thin">
        <color rgb="FFD4C4A8"/>
      </bottom>
      <diagonal/>
    </border>
    <border>
      <left/>
      <right/>
      <top style="thin">
        <color rgb="FF0F172A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1" xfId="0" applyFont="1" applyBorder="1"/>
    <xf numFmtId="0" fontId="0" fillId="0" borderId="1" xfId="0" applyBorder="1"/>
    <xf numFmtId="0" fontId="5" fillId="0" borderId="0" xfId="0" applyFont="1"/>
    <xf numFmtId="0" fontId="6" fillId="2" borderId="2" xfId="0" applyFont="1" applyFill="1" applyBorder="1"/>
    <xf numFmtId="164" fontId="6" fillId="2" borderId="2" xfId="0" applyNumberFormat="1" applyFont="1" applyFill="1" applyBorder="1"/>
    <xf numFmtId="1" fontId="6" fillId="2" borderId="2" xfId="0" applyNumberFormat="1" applyFont="1" applyFill="1" applyBorder="1"/>
    <xf numFmtId="0" fontId="8" fillId="0" borderId="0" xfId="0" applyFont="1"/>
    <xf numFmtId="0" fontId="2" fillId="0" borderId="0" xfId="0" applyFont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12" fillId="2" borderId="2" xfId="0" applyFont="1" applyFill="1" applyBorder="1"/>
    <xf numFmtId="0" fontId="13" fillId="2" borderId="2" xfId="0" applyFont="1" applyFill="1" applyBorder="1" applyAlignment="1">
      <alignment horizontal="right"/>
    </xf>
    <xf numFmtId="0" fontId="2" fillId="2" borderId="2" xfId="0" applyFont="1" applyFill="1" applyBorder="1"/>
    <xf numFmtId="165" fontId="13" fillId="2" borderId="2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0" fontId="14" fillId="0" borderId="0" xfId="0" applyFont="1"/>
    <xf numFmtId="0" fontId="13" fillId="0" borderId="0" xfId="0" applyFont="1"/>
    <xf numFmtId="0" fontId="15" fillId="0" borderId="1" xfId="0" applyFont="1" applyBorder="1"/>
    <xf numFmtId="165" fontId="6" fillId="2" borderId="2" xfId="0" applyNumberFormat="1" applyFont="1" applyFill="1" applyBorder="1"/>
    <xf numFmtId="1" fontId="6" fillId="0" borderId="0" xfId="0" applyNumberFormat="1" applyFont="1"/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right"/>
    </xf>
    <xf numFmtId="0" fontId="0" fillId="0" borderId="4" xfId="0" applyBorder="1"/>
    <xf numFmtId="1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2" borderId="2" xfId="0" applyFont="1" applyFill="1" applyBorder="1"/>
    <xf numFmtId="1" fontId="13" fillId="2" borderId="2" xfId="0" applyNumberFormat="1" applyFont="1" applyFill="1" applyBorder="1" applyAlignment="1">
      <alignment horizontal="right"/>
    </xf>
    <xf numFmtId="164" fontId="13" fillId="2" borderId="2" xfId="0" applyNumberFormat="1" applyFont="1" applyFill="1" applyBorder="1" applyAlignment="1">
      <alignment horizontal="right"/>
    </xf>
    <xf numFmtId="0" fontId="18" fillId="0" borderId="5" xfId="0" applyFont="1" applyBorder="1"/>
    <xf numFmtId="0" fontId="0" fillId="0" borderId="5" xfId="0" applyBorder="1"/>
    <xf numFmtId="164" fontId="18" fillId="0" borderId="5" xfId="0" applyNumberFormat="1" applyFont="1" applyBorder="1" applyAlignment="1">
      <alignment horizontal="right"/>
    </xf>
    <xf numFmtId="0" fontId="20" fillId="2" borderId="2" xfId="0" applyFont="1" applyFill="1" applyBorder="1"/>
    <xf numFmtId="0" fontId="2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9" fillId="0" borderId="0" xfId="0" applyFont="1"/>
    <xf numFmtId="0" fontId="17" fillId="0" borderId="0" xfId="0" applyFont="1" applyAlignment="1">
      <alignment vertical="top" wrapText="1"/>
    </xf>
    <xf numFmtId="0" fontId="13" fillId="0" borderId="0" xfId="0" applyFont="1"/>
    <xf numFmtId="0" fontId="10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/>
    <xf numFmtId="0" fontId="11" fillId="0" borderId="0" xfId="0" applyFont="1"/>
    <xf numFmtId="0" fontId="16" fillId="0" borderId="0" xfId="0" applyFont="1" applyAlignment="1">
      <alignment horizontal="right"/>
    </xf>
    <xf numFmtId="0" fontId="5" fillId="0" borderId="0" xfId="0" applyFont="1" applyAlignment="1">
      <alignment vertical="top" wrapText="1"/>
    </xf>
    <xf numFmtId="0" fontId="17" fillId="0" borderId="0" xfId="0" applyFont="1"/>
    <xf numFmtId="0" fontId="15" fillId="3" borderId="0" xfId="0" applyFont="1" applyFill="1" applyAlignment="1">
      <alignment vertical="center" wrapText="1"/>
    </xf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DCC8"/>
    <pageSetUpPr fitToPage="1"/>
  </sheetPr>
  <dimension ref="B2:D34"/>
  <sheetViews>
    <sheetView showGridLines="0" tabSelected="1" workbookViewId="0"/>
  </sheetViews>
  <sheetFormatPr baseColWidth="10" defaultColWidth="9.06640625" defaultRowHeight="14.25" x14ac:dyDescent="0.45"/>
  <cols>
    <col min="1" max="1" width="2.46484375" customWidth="1"/>
    <col min="2" max="2" width="30" customWidth="1"/>
    <col min="3" max="3" width="40" customWidth="1"/>
    <col min="4" max="4" width="24" customWidth="1"/>
    <col min="5" max="5" width="12" customWidth="1"/>
  </cols>
  <sheetData>
    <row r="2" spans="2:4" ht="24" customHeight="1" x14ac:dyDescent="0.6">
      <c r="B2" s="1" t="s">
        <v>0</v>
      </c>
    </row>
    <row r="3" spans="2:4" ht="15.2" customHeight="1" x14ac:dyDescent="0.45">
      <c r="B3" s="35" t="s">
        <v>1</v>
      </c>
      <c r="C3" s="36"/>
      <c r="D3" s="36"/>
    </row>
    <row r="5" spans="2:4" ht="20" customHeight="1" x14ac:dyDescent="0.45">
      <c r="B5" s="2" t="s">
        <v>2</v>
      </c>
      <c r="C5" s="3"/>
      <c r="D5" s="3"/>
    </row>
    <row r="6" spans="2:4" ht="29.75" customHeight="1" x14ac:dyDescent="0.45">
      <c r="B6" s="38" t="s">
        <v>3</v>
      </c>
      <c r="C6" s="36"/>
      <c r="D6" s="36"/>
    </row>
    <row r="8" spans="2:4" ht="16.05" customHeight="1" x14ac:dyDescent="0.45">
      <c r="B8" s="4" t="s">
        <v>4</v>
      </c>
      <c r="C8" s="5" t="s">
        <v>5</v>
      </c>
    </row>
    <row r="9" spans="2:4" ht="16.05" customHeight="1" x14ac:dyDescent="0.45">
      <c r="B9" s="4" t="s">
        <v>6</v>
      </c>
      <c r="C9" s="5" t="s">
        <v>7</v>
      </c>
    </row>
    <row r="10" spans="2:4" ht="16.05" customHeight="1" x14ac:dyDescent="0.45">
      <c r="B10" s="4" t="s">
        <v>8</v>
      </c>
      <c r="C10" s="5"/>
    </row>
    <row r="11" spans="2:4" ht="16.05" customHeight="1" x14ac:dyDescent="0.45">
      <c r="B11" s="4" t="s">
        <v>9</v>
      </c>
      <c r="C11" s="5" t="s">
        <v>10</v>
      </c>
    </row>
    <row r="12" spans="2:4" ht="16.05" customHeight="1" x14ac:dyDescent="0.45">
      <c r="B12" s="4" t="s">
        <v>11</v>
      </c>
      <c r="C12" s="5" t="s">
        <v>12</v>
      </c>
    </row>
    <row r="13" spans="2:4" ht="29.75" customHeight="1" x14ac:dyDescent="0.45">
      <c r="B13" s="38" t="s">
        <v>13</v>
      </c>
      <c r="C13" s="36"/>
      <c r="D13" s="36"/>
    </row>
    <row r="15" spans="2:4" ht="20" customHeight="1" x14ac:dyDescent="0.45">
      <c r="B15" s="2" t="s">
        <v>14</v>
      </c>
      <c r="C15" s="3"/>
      <c r="D15" s="3"/>
    </row>
    <row r="16" spans="2:4" ht="31.05" customHeight="1" x14ac:dyDescent="0.45">
      <c r="B16" s="37" t="s">
        <v>15</v>
      </c>
      <c r="C16" s="36"/>
      <c r="D16" s="36"/>
    </row>
    <row r="17" spans="2:4" ht="43.6" customHeight="1" x14ac:dyDescent="0.45">
      <c r="B17" s="37" t="s">
        <v>16</v>
      </c>
      <c r="C17" s="36"/>
      <c r="D17" s="36"/>
    </row>
    <row r="18" spans="2:4" ht="31.05" customHeight="1" x14ac:dyDescent="0.45">
      <c r="B18" s="37" t="s">
        <v>17</v>
      </c>
      <c r="C18" s="36"/>
      <c r="D18" s="36"/>
    </row>
    <row r="19" spans="2:4" ht="43.6" customHeight="1" x14ac:dyDescent="0.45">
      <c r="B19" s="37" t="s">
        <v>18</v>
      </c>
      <c r="C19" s="36"/>
      <c r="D19" s="36"/>
    </row>
    <row r="20" spans="2:4" ht="31.05" customHeight="1" x14ac:dyDescent="0.45">
      <c r="B20" s="37" t="s">
        <v>19</v>
      </c>
      <c r="C20" s="36"/>
      <c r="D20" s="36"/>
    </row>
    <row r="21" spans="2:4" ht="31.05" customHeight="1" x14ac:dyDescent="0.45">
      <c r="B21" s="37" t="s">
        <v>20</v>
      </c>
      <c r="C21" s="36"/>
      <c r="D21" s="36"/>
    </row>
    <row r="22" spans="2:4" ht="31.05" customHeight="1" x14ac:dyDescent="0.45">
      <c r="B22" s="37" t="s">
        <v>21</v>
      </c>
      <c r="C22" s="36"/>
      <c r="D22" s="36"/>
    </row>
    <row r="23" spans="2:4" ht="31.05" customHeight="1" x14ac:dyDescent="0.45">
      <c r="B23" s="37" t="s">
        <v>22</v>
      </c>
      <c r="C23" s="36"/>
      <c r="D23" s="36"/>
    </row>
    <row r="24" spans="2:4" ht="20" customHeight="1" x14ac:dyDescent="0.45">
      <c r="B24" s="2" t="s">
        <v>23</v>
      </c>
      <c r="C24" s="3"/>
      <c r="D24" s="3"/>
    </row>
    <row r="25" spans="2:4" ht="41.65" customHeight="1" x14ac:dyDescent="0.45">
      <c r="B25" s="38" t="s">
        <v>24</v>
      </c>
      <c r="C25" s="36"/>
      <c r="D25" s="36"/>
    </row>
    <row r="26" spans="2:4" ht="16.05" customHeight="1" x14ac:dyDescent="0.45">
      <c r="B26" s="4" t="s">
        <v>25</v>
      </c>
      <c r="C26" s="6">
        <v>65</v>
      </c>
    </row>
    <row r="27" spans="2:4" ht="16.05" customHeight="1" x14ac:dyDescent="0.45">
      <c r="B27" s="4" t="s">
        <v>26</v>
      </c>
      <c r="C27" s="6">
        <v>1</v>
      </c>
    </row>
    <row r="28" spans="2:4" ht="16.05" customHeight="1" x14ac:dyDescent="0.45">
      <c r="B28" s="4" t="s">
        <v>27</v>
      </c>
      <c r="C28" s="7">
        <v>14</v>
      </c>
    </row>
    <row r="29" spans="2:4" ht="16.05" customHeight="1" x14ac:dyDescent="0.45">
      <c r="B29" s="4" t="s">
        <v>28</v>
      </c>
      <c r="C29" s="5" t="s">
        <v>29</v>
      </c>
    </row>
    <row r="30" spans="2:4" ht="16.05" customHeight="1" x14ac:dyDescent="0.45">
      <c r="B30" s="4" t="s">
        <v>30</v>
      </c>
      <c r="C30" s="5" t="s">
        <v>31</v>
      </c>
    </row>
    <row r="31" spans="2:4" ht="29.75" customHeight="1" x14ac:dyDescent="0.45">
      <c r="B31" s="38" t="s">
        <v>32</v>
      </c>
      <c r="C31" s="36"/>
      <c r="D31" s="36"/>
    </row>
    <row r="33" spans="2:4" ht="20" customHeight="1" x14ac:dyDescent="0.45">
      <c r="B33" s="2" t="s">
        <v>33</v>
      </c>
      <c r="C33" s="3"/>
      <c r="D33" s="3"/>
    </row>
    <row r="34" spans="2:4" ht="53.55" customHeight="1" x14ac:dyDescent="0.45">
      <c r="B34" s="38" t="s">
        <v>34</v>
      </c>
      <c r="C34" s="36"/>
      <c r="D34" s="36"/>
    </row>
  </sheetData>
  <mergeCells count="14">
    <mergeCell ref="B3:D3"/>
    <mergeCell ref="B19:D19"/>
    <mergeCell ref="B34:D34"/>
    <mergeCell ref="B31:D31"/>
    <mergeCell ref="B23:D23"/>
    <mergeCell ref="B22:D22"/>
    <mergeCell ref="B17:D17"/>
    <mergeCell ref="B18:D18"/>
    <mergeCell ref="B13:D13"/>
    <mergeCell ref="B21:D21"/>
    <mergeCell ref="B25:D25"/>
    <mergeCell ref="B6:D6"/>
    <mergeCell ref="B16:D16"/>
    <mergeCell ref="B20:D20"/>
  </mergeCells>
  <pageMargins left="0.7" right="0.6" top="0.6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A7F5A"/>
    <pageSetUpPr fitToPage="1"/>
  </sheetPr>
  <dimension ref="B1:F51"/>
  <sheetViews>
    <sheetView showGridLines="0" workbookViewId="0"/>
  </sheetViews>
  <sheetFormatPr baseColWidth="10" defaultColWidth="9.06640625" defaultRowHeight="14.25" x14ac:dyDescent="0.45"/>
  <cols>
    <col min="1" max="1" width="2.46484375" customWidth="1"/>
    <col min="2" max="2" width="42" customWidth="1"/>
    <col min="3" max="3" width="12" customWidth="1"/>
    <col min="4" max="4" width="3" customWidth="1"/>
    <col min="5" max="5" width="16" customWidth="1"/>
    <col min="6" max="6" width="14" customWidth="1"/>
    <col min="7" max="7" width="2.46484375" customWidth="1"/>
  </cols>
  <sheetData>
    <row r="1" spans="2:6" ht="6" customHeight="1" x14ac:dyDescent="0.45"/>
    <row r="2" spans="2:6" ht="26" customHeight="1" x14ac:dyDescent="0.6">
      <c r="B2" s="8" t="s">
        <v>35</v>
      </c>
    </row>
    <row r="3" spans="2:6" ht="14" customHeight="1" x14ac:dyDescent="0.45">
      <c r="B3" s="9" t="s">
        <v>36</v>
      </c>
      <c r="C3" s="42" t="s">
        <v>5</v>
      </c>
      <c r="D3" s="36"/>
      <c r="E3" s="36"/>
      <c r="F3" s="36"/>
    </row>
    <row r="4" spans="2:6" ht="13.05" customHeight="1" x14ac:dyDescent="0.45">
      <c r="B4" s="10" t="s">
        <v>37</v>
      </c>
      <c r="C4" s="43" t="s">
        <v>38</v>
      </c>
      <c r="D4" s="36"/>
      <c r="E4" s="36"/>
      <c r="F4" s="36"/>
    </row>
    <row r="5" spans="2:6" ht="13.05" customHeight="1" x14ac:dyDescent="0.45">
      <c r="C5" s="43" t="s">
        <v>39</v>
      </c>
      <c r="D5" s="36"/>
      <c r="E5" s="36"/>
      <c r="F5" s="36"/>
    </row>
    <row r="6" spans="2:6" ht="13.05" customHeight="1" x14ac:dyDescent="0.45">
      <c r="C6" s="43" t="s">
        <v>40</v>
      </c>
      <c r="D6" s="36"/>
      <c r="E6" s="36"/>
      <c r="F6" s="36"/>
    </row>
    <row r="7" spans="2:6" ht="13.05" customHeight="1" x14ac:dyDescent="0.45">
      <c r="C7" s="43" t="s">
        <v>41</v>
      </c>
      <c r="D7" s="36"/>
      <c r="E7" s="36"/>
      <c r="F7" s="36"/>
    </row>
    <row r="8" spans="2:6" ht="13.05" customHeight="1" x14ac:dyDescent="0.45">
      <c r="C8" s="43" t="str">
        <f>"Steuernummer "&amp;Anleitung!$C$12</f>
        <v>Steuernummer 000/000/00000</v>
      </c>
      <c r="D8" s="36"/>
      <c r="E8" s="36"/>
      <c r="F8" s="36"/>
    </row>
    <row r="9" spans="2:6" ht="6" customHeight="1" x14ac:dyDescent="0.45">
      <c r="B9" s="12"/>
      <c r="C9" s="12"/>
      <c r="D9" s="12"/>
      <c r="E9" s="12"/>
      <c r="F9" s="12"/>
    </row>
    <row r="10" spans="2:6" ht="11" customHeight="1" x14ac:dyDescent="0.45">
      <c r="B10" s="45" t="s">
        <v>42</v>
      </c>
      <c r="C10" s="36"/>
      <c r="D10" s="36"/>
      <c r="E10" s="36"/>
      <c r="F10" s="36"/>
    </row>
    <row r="11" spans="2:6" ht="4.05" customHeight="1" x14ac:dyDescent="0.45"/>
    <row r="12" spans="2:6" ht="16.05" customHeight="1" x14ac:dyDescent="0.45">
      <c r="B12" s="13" t="s">
        <v>43</v>
      </c>
      <c r="E12" s="10" t="s">
        <v>44</v>
      </c>
      <c r="F12" s="14"/>
    </row>
    <row r="13" spans="2:6" ht="14" customHeight="1" x14ac:dyDescent="0.45">
      <c r="B13" s="15" t="s">
        <v>45</v>
      </c>
      <c r="E13" s="10" t="s">
        <v>46</v>
      </c>
      <c r="F13" s="16"/>
    </row>
    <row r="14" spans="2:6" ht="14" customHeight="1" x14ac:dyDescent="0.45">
      <c r="B14" s="15" t="s">
        <v>47</v>
      </c>
      <c r="E14" s="10" t="s">
        <v>48</v>
      </c>
      <c r="F14" s="14" t="s">
        <v>49</v>
      </c>
    </row>
    <row r="15" spans="2:6" ht="14" customHeight="1" x14ac:dyDescent="0.45">
      <c r="B15" s="15" t="s">
        <v>50</v>
      </c>
      <c r="E15" s="10" t="s">
        <v>51</v>
      </c>
      <c r="F15" s="17" t="str">
        <f>IF(OR($F$13="",$C$24=""),"",IF($F$14="Barzahlung bei Anreise",$C$24,MIN($F$13+Anleitung!$C$28,$C$24)))</f>
        <v/>
      </c>
    </row>
    <row r="16" spans="2:6" ht="6" customHeight="1" x14ac:dyDescent="0.45"/>
    <row r="17" spans="2:6" ht="6" customHeight="1" x14ac:dyDescent="0.45"/>
    <row r="18" spans="2:6" ht="22.05" customHeight="1" x14ac:dyDescent="0.5">
      <c r="B18" s="18" t="str">
        <f>"Rechnung"&amp;IF($F$12="",""," Nr. "&amp;$F$12)</f>
        <v>Rechnung</v>
      </c>
    </row>
    <row r="19" spans="2:6" ht="8" customHeight="1" x14ac:dyDescent="0.45"/>
    <row r="20" spans="2:6" x14ac:dyDescent="0.45">
      <c r="B20" s="41" t="str">
        <f>"Guten Tag "&amp;$B$12&amp;","</f>
        <v>Guten Tag [Vorname Nachname],</v>
      </c>
      <c r="C20" s="36"/>
      <c r="D20" s="36"/>
      <c r="E20" s="36"/>
      <c r="F20" s="36"/>
    </row>
    <row r="21" spans="2:6" ht="32.450000000000003" customHeight="1" x14ac:dyDescent="0.45">
      <c r="B21" s="47" t="s">
        <v>52</v>
      </c>
      <c r="C21" s="36"/>
      <c r="D21" s="36"/>
      <c r="E21" s="36"/>
      <c r="F21" s="36"/>
    </row>
    <row r="22" spans="2:6" ht="6" customHeight="1" x14ac:dyDescent="0.45"/>
    <row r="23" spans="2:6" ht="16.05" customHeight="1" x14ac:dyDescent="0.45">
      <c r="B23" s="20" t="s">
        <v>53</v>
      </c>
      <c r="C23" s="3"/>
      <c r="D23" s="3"/>
      <c r="E23" s="3"/>
      <c r="F23" s="3"/>
    </row>
    <row r="24" spans="2:6" ht="15" customHeight="1" x14ac:dyDescent="0.45">
      <c r="B24" s="4" t="s">
        <v>54</v>
      </c>
      <c r="C24" s="21"/>
      <c r="E24" s="10" t="s">
        <v>28</v>
      </c>
      <c r="F24" s="11" t="str">
        <f>Anleitung!$C$29</f>
        <v>15:00 Uhr</v>
      </c>
    </row>
    <row r="25" spans="2:6" ht="15" customHeight="1" x14ac:dyDescent="0.45">
      <c r="B25" s="4" t="s">
        <v>55</v>
      </c>
      <c r="C25" s="21"/>
      <c r="E25" s="10" t="s">
        <v>30</v>
      </c>
      <c r="F25" s="11" t="str">
        <f>Anleitung!$C$30</f>
        <v>10:00 Uhr</v>
      </c>
    </row>
    <row r="26" spans="2:6" ht="15" customHeight="1" x14ac:dyDescent="0.45">
      <c r="B26" s="4" t="s">
        <v>56</v>
      </c>
      <c r="C26" s="22" t="str">
        <f>IF(OR($C$24="",$C$25=""),"",$C$25-$C$24)</f>
        <v/>
      </c>
      <c r="D26" s="46" t="str">
        <f>IF(OR($C$24="",$C$25=""),"",IF($C$25&lt;=$C$24,"Abreise muss nach Anreise liegen",""))</f>
        <v/>
      </c>
      <c r="E26" s="36"/>
      <c r="F26" s="36"/>
    </row>
    <row r="27" spans="2:6" ht="15" customHeight="1" x14ac:dyDescent="0.45">
      <c r="B27" s="4" t="s">
        <v>57</v>
      </c>
      <c r="C27" s="7"/>
    </row>
    <row r="28" spans="2:6" ht="10.050000000000001" customHeight="1" x14ac:dyDescent="0.45"/>
    <row r="29" spans="2:6" ht="18" customHeight="1" x14ac:dyDescent="0.45">
      <c r="B29" s="23" t="s">
        <v>58</v>
      </c>
      <c r="C29" s="24" t="s">
        <v>59</v>
      </c>
      <c r="D29" s="25"/>
      <c r="E29" s="24" t="s">
        <v>60</v>
      </c>
      <c r="F29" s="24" t="s">
        <v>61</v>
      </c>
    </row>
    <row r="30" spans="2:6" ht="16.05" customHeight="1" x14ac:dyDescent="0.45">
      <c r="B30" s="19" t="s">
        <v>62</v>
      </c>
      <c r="C30" s="26" t="str">
        <f>IF($C$26="","",$C$26)</f>
        <v/>
      </c>
      <c r="E30" s="27">
        <f>Anleitung!$C$26</f>
        <v>65</v>
      </c>
      <c r="F30" s="27" t="str">
        <f>IF($C$30="","",$C$30*$E$30)</f>
        <v/>
      </c>
    </row>
    <row r="31" spans="2:6" ht="13.05" customHeight="1" x14ac:dyDescent="0.45">
      <c r="B31" s="48" t="s">
        <v>63</v>
      </c>
      <c r="C31" s="36"/>
      <c r="D31" s="36"/>
      <c r="E31" s="36"/>
      <c r="F31" s="36"/>
    </row>
    <row r="32" spans="2:6" ht="16.05" customHeight="1" x14ac:dyDescent="0.45">
      <c r="B32" s="19" t="str">
        <f>IF(OR($C$26="",$C$27=""),"Kurtaxe (pro Person und Tag)","Kurtaxe – "&amp;$C$27&amp;" Personen × "&amp;$C$26&amp;" Nächte")</f>
        <v>Kurtaxe (pro Person und Tag)</v>
      </c>
      <c r="C32" s="26" t="str">
        <f>IF(OR($C$26="",$C$27=""),"",$C$26*$C$27)</f>
        <v/>
      </c>
      <c r="E32" s="27">
        <f>Anleitung!$C$27</f>
        <v>1</v>
      </c>
      <c r="F32" s="27" t="str">
        <f>IF($C$32="","",$C$32*$E$32)</f>
        <v/>
      </c>
    </row>
    <row r="33" spans="2:6" ht="16.05" customHeight="1" x14ac:dyDescent="0.45">
      <c r="B33" s="28"/>
      <c r="C33" s="29"/>
      <c r="E33" s="30"/>
      <c r="F33" s="27" t="str">
        <f>IF(OR($C$33="",$E$33=""),"",$C$33*$E$33)</f>
        <v/>
      </c>
    </row>
    <row r="34" spans="2:6" ht="24" customHeight="1" x14ac:dyDescent="0.45">
      <c r="B34" s="31" t="s">
        <v>64</v>
      </c>
      <c r="C34" s="32"/>
      <c r="D34" s="32"/>
      <c r="E34" s="32"/>
      <c r="F34" s="33" t="str">
        <f>IF(SUM($F$30:$F$33)=0,"",SUM($F$30:$F$33))</f>
        <v/>
      </c>
    </row>
    <row r="35" spans="2:6" ht="4.05" customHeight="1" x14ac:dyDescent="0.45"/>
    <row r="36" spans="2:6" ht="24.4" customHeight="1" x14ac:dyDescent="0.45">
      <c r="B36" s="40" t="s">
        <v>65</v>
      </c>
      <c r="C36" s="36"/>
      <c r="D36" s="36"/>
      <c r="E36" s="36"/>
      <c r="F36" s="36"/>
    </row>
    <row r="37" spans="2:6" ht="24.4" customHeight="1" x14ac:dyDescent="0.45">
      <c r="B37" s="40" t="s">
        <v>66</v>
      </c>
      <c r="C37" s="36"/>
      <c r="D37" s="36"/>
      <c r="E37" s="36"/>
      <c r="F37" s="36"/>
    </row>
    <row r="38" spans="2:6" ht="6" customHeight="1" x14ac:dyDescent="0.45"/>
    <row r="39" spans="2:6" ht="16.05" customHeight="1" x14ac:dyDescent="0.45">
      <c r="B39" s="20" t="s">
        <v>67</v>
      </c>
      <c r="C39" s="3"/>
      <c r="D39" s="3"/>
      <c r="E39" s="3"/>
      <c r="F39" s="3"/>
    </row>
    <row r="40" spans="2:6" ht="32.450000000000003" customHeight="1" x14ac:dyDescent="0.45">
      <c r="B40" s="47" t="str">
        <f>IF($F$14="Barzahlung bei Anreise","Der Gesamtbetrag wird bei der Schlüsselübergabe in bar beglichen – Sie müssen vorab nichts überweisen.","Bitte überweisen Sie den Gesamtbetrag bis zum oben genannten Datum auf das folgende Konto. Als Verwendungszweck genügt die Rechnungsnummer.")</f>
        <v>Bitte überweisen Sie den Gesamtbetrag bis zum oben genannten Datum auf das folgende Konto. Als Verwendungszweck genügt die Rechnungsnummer.</v>
      </c>
      <c r="C40" s="36"/>
      <c r="D40" s="36"/>
      <c r="E40" s="36"/>
      <c r="F40" s="36"/>
    </row>
    <row r="41" spans="2:6" ht="14" customHeight="1" x14ac:dyDescent="0.45">
      <c r="B41" s="10" t="str">
        <f>IF($F$14="Barzahlung bei Anreise","","Kontoinhaber")</f>
        <v>Kontoinhaber</v>
      </c>
      <c r="C41" s="41" t="str">
        <f>IF($F$14="Barzahlung bei Anreise","",Anleitung!$C$8)</f>
        <v>Stefan Weber</v>
      </c>
      <c r="D41" s="36"/>
      <c r="E41" s="36"/>
      <c r="F41" s="36"/>
    </row>
    <row r="42" spans="2:6" ht="14" customHeight="1" x14ac:dyDescent="0.45">
      <c r="B42" s="10" t="str">
        <f>IF($F$14="Barzahlung bei Anreise","","IBAN")</f>
        <v>IBAN</v>
      </c>
      <c r="C42" s="44" t="str">
        <f>IF($F$14="Barzahlung bei Anreise","",Anleitung!$C$9)</f>
        <v>DE00 0000 0000 0000 0000 00</v>
      </c>
      <c r="D42" s="36"/>
      <c r="E42" s="36"/>
      <c r="F42" s="36"/>
    </row>
    <row r="43" spans="2:6" ht="14" customHeight="1" x14ac:dyDescent="0.45">
      <c r="B43" s="10" t="str">
        <f>IF($F$14="Barzahlung bei Anreise","","Bank")</f>
        <v>Bank</v>
      </c>
      <c r="C43" s="41" t="str">
        <f>IF($F$14="Barzahlung bei Anreise","",Anleitung!$C$11&amp;IF(Anleitung!$C$10="",""," · BIC "&amp;Anleitung!$C$10))</f>
        <v>Name der Bank</v>
      </c>
      <c r="D43" s="36"/>
      <c r="E43" s="36"/>
      <c r="F43" s="36"/>
    </row>
    <row r="44" spans="2:6" ht="14" customHeight="1" x14ac:dyDescent="0.45">
      <c r="B44" s="10" t="str">
        <f>IF($F$14="Barzahlung bei Anreise","","Verwendungszweck")</f>
        <v>Verwendungszweck</v>
      </c>
      <c r="C44" s="41" t="str">
        <f>IF($F$14="Barzahlung bei Anreise","",IF($F$12="","Rechnungsnummer","Rechnung "&amp;$F$12))</f>
        <v>Rechnungsnummer</v>
      </c>
      <c r="D44" s="36"/>
      <c r="E44" s="36"/>
      <c r="F44" s="36"/>
    </row>
    <row r="45" spans="2:6" ht="6" customHeight="1" x14ac:dyDescent="0.45"/>
    <row r="46" spans="2:6" ht="35.65" customHeight="1" x14ac:dyDescent="0.45">
      <c r="B46" s="40" t="s">
        <v>68</v>
      </c>
      <c r="C46" s="36"/>
      <c r="D46" s="36"/>
      <c r="E46" s="36"/>
      <c r="F46" s="36"/>
    </row>
    <row r="47" spans="2:6" ht="8" customHeight="1" x14ac:dyDescent="0.45"/>
    <row r="48" spans="2:6" ht="15" customHeight="1" x14ac:dyDescent="0.45">
      <c r="B48" s="41" t="s">
        <v>69</v>
      </c>
      <c r="C48" s="36"/>
      <c r="D48" s="36"/>
      <c r="E48" s="36"/>
      <c r="F48" s="36"/>
    </row>
    <row r="49" spans="2:6" ht="10.050000000000001" customHeight="1" x14ac:dyDescent="0.45"/>
    <row r="50" spans="2:6" ht="15" customHeight="1" x14ac:dyDescent="0.45">
      <c r="B50" s="41" t="s">
        <v>70</v>
      </c>
      <c r="C50" s="36"/>
      <c r="D50" s="36"/>
      <c r="E50" s="36"/>
      <c r="F50" s="36"/>
    </row>
    <row r="51" spans="2:6" ht="14" customHeight="1" x14ac:dyDescent="0.45">
      <c r="B51" s="39" t="s">
        <v>71</v>
      </c>
      <c r="C51" s="36"/>
      <c r="D51" s="36"/>
      <c r="E51" s="36"/>
      <c r="F51" s="36"/>
    </row>
  </sheetData>
  <mergeCells count="22">
    <mergeCell ref="C43:F43"/>
    <mergeCell ref="C8:F8"/>
    <mergeCell ref="C7:F7"/>
    <mergeCell ref="B31:F31"/>
    <mergeCell ref="B46:F46"/>
    <mergeCell ref="B21:F21"/>
    <mergeCell ref="B51:F51"/>
    <mergeCell ref="B36:F36"/>
    <mergeCell ref="B50:F50"/>
    <mergeCell ref="C3:F3"/>
    <mergeCell ref="B48:F48"/>
    <mergeCell ref="C6:F6"/>
    <mergeCell ref="C42:F42"/>
    <mergeCell ref="C5:F5"/>
    <mergeCell ref="C4:F4"/>
    <mergeCell ref="B10:F10"/>
    <mergeCell ref="B37:F37"/>
    <mergeCell ref="D26:F26"/>
    <mergeCell ref="C41:F41"/>
    <mergeCell ref="B40:F40"/>
    <mergeCell ref="C44:F44"/>
    <mergeCell ref="B20:F20"/>
  </mergeCells>
  <dataValidations count="2">
    <dataValidation type="list" errorTitle="Zahlungsweise" error="Bitte Überweisung oder Barzahlung bei Anreise wählen." sqref="F14" xr:uid="{00000000-0002-0000-0100-000000000000}">
      <formula1>"Überweisung,Barzahlung bei Anreise"</formula1>
    </dataValidation>
    <dataValidation type="whole" allowBlank="1" errorTitle="Personenzahl" error="Die Wohnung ist für höchstens 4 Personen ausgelegt." sqref="C27" xr:uid="{00000000-0002-0000-0100-000001000000}">
      <formula1>1</formula1>
      <formula2>4</formula2>
    </dataValidation>
  </dataValidations>
  <pageMargins left="0.7" right="0.6" top="0.6" bottom="0.5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C4A8"/>
    <pageSetUpPr fitToPage="1"/>
  </sheetPr>
  <dimension ref="B1:F51"/>
  <sheetViews>
    <sheetView showGridLines="0" workbookViewId="0"/>
  </sheetViews>
  <sheetFormatPr baseColWidth="10" defaultColWidth="9.06640625" defaultRowHeight="14.25" x14ac:dyDescent="0.45"/>
  <cols>
    <col min="1" max="1" width="2.46484375" customWidth="1"/>
    <col min="2" max="2" width="42" customWidth="1"/>
    <col min="3" max="3" width="12" customWidth="1"/>
    <col min="4" max="4" width="3" customWidth="1"/>
    <col min="5" max="5" width="16" customWidth="1"/>
    <col min="6" max="6" width="14" customWidth="1"/>
    <col min="7" max="7" width="2.46484375" customWidth="1"/>
  </cols>
  <sheetData>
    <row r="1" spans="2:6" ht="21.85" customHeight="1" x14ac:dyDescent="0.45">
      <c r="B1" s="49" t="s">
        <v>72</v>
      </c>
      <c r="C1" s="50"/>
      <c r="D1" s="50"/>
      <c r="E1" s="50"/>
      <c r="F1" s="50"/>
    </row>
    <row r="2" spans="2:6" ht="26" customHeight="1" x14ac:dyDescent="0.6">
      <c r="B2" s="8" t="s">
        <v>35</v>
      </c>
    </row>
    <row r="3" spans="2:6" ht="14" customHeight="1" x14ac:dyDescent="0.45">
      <c r="B3" s="9" t="s">
        <v>36</v>
      </c>
      <c r="C3" s="42" t="s">
        <v>5</v>
      </c>
      <c r="D3" s="36"/>
      <c r="E3" s="36"/>
      <c r="F3" s="36"/>
    </row>
    <row r="4" spans="2:6" ht="13.05" customHeight="1" x14ac:dyDescent="0.45">
      <c r="B4" s="10" t="s">
        <v>37</v>
      </c>
      <c r="C4" s="43" t="s">
        <v>38</v>
      </c>
      <c r="D4" s="36"/>
      <c r="E4" s="36"/>
      <c r="F4" s="36"/>
    </row>
    <row r="5" spans="2:6" ht="13.05" customHeight="1" x14ac:dyDescent="0.45">
      <c r="C5" s="43" t="s">
        <v>39</v>
      </c>
      <c r="D5" s="36"/>
      <c r="E5" s="36"/>
      <c r="F5" s="36"/>
    </row>
    <row r="6" spans="2:6" ht="13.05" customHeight="1" x14ac:dyDescent="0.45">
      <c r="C6" s="43" t="s">
        <v>40</v>
      </c>
      <c r="D6" s="36"/>
      <c r="E6" s="36"/>
      <c r="F6" s="36"/>
    </row>
    <row r="7" spans="2:6" ht="13.05" customHeight="1" x14ac:dyDescent="0.45">
      <c r="C7" s="43" t="s">
        <v>41</v>
      </c>
      <c r="D7" s="36"/>
      <c r="E7" s="36"/>
      <c r="F7" s="36"/>
    </row>
    <row r="8" spans="2:6" ht="13.05" customHeight="1" x14ac:dyDescent="0.45">
      <c r="C8" s="43" t="str">
        <f>"Steuernummer "&amp;Anleitung!$C$12</f>
        <v>Steuernummer 000/000/00000</v>
      </c>
      <c r="D8" s="36"/>
      <c r="E8" s="36"/>
      <c r="F8" s="36"/>
    </row>
    <row r="9" spans="2:6" ht="6" customHeight="1" x14ac:dyDescent="0.45">
      <c r="B9" s="12"/>
      <c r="C9" s="12"/>
      <c r="D9" s="12"/>
      <c r="E9" s="12"/>
      <c r="F9" s="12"/>
    </row>
    <row r="10" spans="2:6" ht="11" customHeight="1" x14ac:dyDescent="0.45">
      <c r="B10" s="45" t="s">
        <v>42</v>
      </c>
      <c r="C10" s="36"/>
      <c r="D10" s="36"/>
      <c r="E10" s="36"/>
      <c r="F10" s="36"/>
    </row>
    <row r="11" spans="2:6" ht="4.05" customHeight="1" x14ac:dyDescent="0.45"/>
    <row r="12" spans="2:6" ht="16.05" customHeight="1" x14ac:dyDescent="0.45">
      <c r="B12" s="34" t="s">
        <v>73</v>
      </c>
      <c r="E12" s="10" t="s">
        <v>44</v>
      </c>
      <c r="F12" s="14" t="s">
        <v>74</v>
      </c>
    </row>
    <row r="13" spans="2:6" ht="14" customHeight="1" x14ac:dyDescent="0.45">
      <c r="B13" s="28" t="s">
        <v>75</v>
      </c>
      <c r="E13" s="10" t="s">
        <v>46</v>
      </c>
      <c r="F13" s="16">
        <v>46254</v>
      </c>
    </row>
    <row r="14" spans="2:6" ht="14" customHeight="1" x14ac:dyDescent="0.45">
      <c r="B14" s="28" t="s">
        <v>76</v>
      </c>
      <c r="E14" s="10" t="s">
        <v>48</v>
      </c>
      <c r="F14" s="14" t="s">
        <v>49</v>
      </c>
    </row>
    <row r="15" spans="2:6" ht="14" customHeight="1" x14ac:dyDescent="0.45">
      <c r="B15" s="28"/>
      <c r="E15" s="10" t="s">
        <v>51</v>
      </c>
      <c r="F15" s="17">
        <f>IF(OR($F$13="",$C$24=""),"",IF($F$14="Barzahlung bei Anreise",$C$24,MIN($F$13+Anleitung!$C$28,$C$24)))</f>
        <v>46268</v>
      </c>
    </row>
    <row r="16" spans="2:6" ht="6" customHeight="1" x14ac:dyDescent="0.45"/>
    <row r="17" spans="2:6" ht="6" customHeight="1" x14ac:dyDescent="0.45"/>
    <row r="18" spans="2:6" ht="22.05" customHeight="1" x14ac:dyDescent="0.5">
      <c r="B18" s="18" t="str">
        <f>"Rechnung"&amp;IF($F$12="",""," Nr. "&amp;$F$12)</f>
        <v>Rechnung Nr. 2026-001</v>
      </c>
    </row>
    <row r="19" spans="2:6" ht="8" customHeight="1" x14ac:dyDescent="0.45"/>
    <row r="20" spans="2:6" x14ac:dyDescent="0.45">
      <c r="B20" s="41" t="str">
        <f>"Guten Tag "&amp;$B$12&amp;","</f>
        <v>Guten Tag Familie Müller,</v>
      </c>
      <c r="C20" s="36"/>
      <c r="D20" s="36"/>
      <c r="E20" s="36"/>
      <c r="F20" s="36"/>
    </row>
    <row r="21" spans="2:6" ht="32.450000000000003" customHeight="1" x14ac:dyDescent="0.45">
      <c r="B21" s="47" t="s">
        <v>52</v>
      </c>
      <c r="C21" s="36"/>
      <c r="D21" s="36"/>
      <c r="E21" s="36"/>
      <c r="F21" s="36"/>
    </row>
    <row r="22" spans="2:6" ht="6" customHeight="1" x14ac:dyDescent="0.45"/>
    <row r="23" spans="2:6" ht="16.05" customHeight="1" x14ac:dyDescent="0.45">
      <c r="B23" s="20" t="s">
        <v>53</v>
      </c>
      <c r="C23" s="3"/>
      <c r="D23" s="3"/>
      <c r="E23" s="3"/>
      <c r="F23" s="3"/>
    </row>
    <row r="24" spans="2:6" ht="15" customHeight="1" x14ac:dyDescent="0.45">
      <c r="B24" s="4" t="s">
        <v>54</v>
      </c>
      <c r="C24" s="21">
        <v>46277</v>
      </c>
      <c r="E24" s="10" t="s">
        <v>28</v>
      </c>
      <c r="F24" s="11" t="str">
        <f>Anleitung!$C$29</f>
        <v>15:00 Uhr</v>
      </c>
    </row>
    <row r="25" spans="2:6" ht="15" customHeight="1" x14ac:dyDescent="0.45">
      <c r="B25" s="4" t="s">
        <v>55</v>
      </c>
      <c r="C25" s="21">
        <v>46284</v>
      </c>
      <c r="E25" s="10" t="s">
        <v>30</v>
      </c>
      <c r="F25" s="11" t="str">
        <f>Anleitung!$C$30</f>
        <v>10:00 Uhr</v>
      </c>
    </row>
    <row r="26" spans="2:6" ht="15" customHeight="1" x14ac:dyDescent="0.45">
      <c r="B26" s="4" t="s">
        <v>56</v>
      </c>
      <c r="C26" s="22">
        <f>IF(OR($C$24="",$C$25=""),"",$C$25-$C$24)</f>
        <v>7</v>
      </c>
      <c r="D26" s="46" t="str">
        <f>IF(OR($C$24="",$C$25=""),"",IF($C$25&lt;=$C$24,"Abreise muss nach Anreise liegen",""))</f>
        <v/>
      </c>
      <c r="E26" s="36"/>
      <c r="F26" s="36"/>
    </row>
    <row r="27" spans="2:6" ht="15" customHeight="1" x14ac:dyDescent="0.45">
      <c r="B27" s="4" t="s">
        <v>57</v>
      </c>
      <c r="C27" s="7">
        <v>2</v>
      </c>
    </row>
    <row r="28" spans="2:6" ht="10.050000000000001" customHeight="1" x14ac:dyDescent="0.45"/>
    <row r="29" spans="2:6" ht="18" customHeight="1" x14ac:dyDescent="0.45">
      <c r="B29" s="23" t="s">
        <v>58</v>
      </c>
      <c r="C29" s="24" t="s">
        <v>59</v>
      </c>
      <c r="D29" s="25"/>
      <c r="E29" s="24" t="s">
        <v>60</v>
      </c>
      <c r="F29" s="24" t="s">
        <v>61</v>
      </c>
    </row>
    <row r="30" spans="2:6" ht="16.05" customHeight="1" x14ac:dyDescent="0.45">
      <c r="B30" s="19" t="s">
        <v>62</v>
      </c>
      <c r="C30" s="26">
        <f>IF($C$26="","",$C$26)</f>
        <v>7</v>
      </c>
      <c r="E30" s="27">
        <f>Anleitung!$C$26</f>
        <v>65</v>
      </c>
      <c r="F30" s="27">
        <f>IF($C$30="","",$C$30*$E$30)</f>
        <v>455</v>
      </c>
    </row>
    <row r="31" spans="2:6" ht="13.05" customHeight="1" x14ac:dyDescent="0.45">
      <c r="B31" s="48" t="s">
        <v>63</v>
      </c>
      <c r="C31" s="36"/>
      <c r="D31" s="36"/>
      <c r="E31" s="36"/>
      <c r="F31" s="36"/>
    </row>
    <row r="32" spans="2:6" ht="16.05" customHeight="1" x14ac:dyDescent="0.45">
      <c r="B32" s="19" t="str">
        <f>IF(OR($C$26="",$C$27=""),"Kurtaxe (pro Person und Tag)","Kurtaxe – "&amp;$C$27&amp;" Personen × "&amp;$C$26&amp;" Nächte")</f>
        <v>Kurtaxe – 2 Personen × 7 Nächte</v>
      </c>
      <c r="C32" s="26">
        <f>IF(OR($C$26="",$C$27=""),"",$C$26*$C$27)</f>
        <v>14</v>
      </c>
      <c r="E32" s="27">
        <f>Anleitung!$C$27</f>
        <v>1</v>
      </c>
      <c r="F32" s="27">
        <f>IF($C$32="","",$C$32*$E$32)</f>
        <v>14</v>
      </c>
    </row>
    <row r="33" spans="2:6" ht="16.05" customHeight="1" x14ac:dyDescent="0.45">
      <c r="B33" s="28"/>
      <c r="C33" s="29"/>
      <c r="E33" s="30"/>
      <c r="F33" s="27" t="str">
        <f>IF(OR($C$33="",$E$33=""),"",$C$33*$E$33)</f>
        <v/>
      </c>
    </row>
    <row r="34" spans="2:6" ht="24" customHeight="1" x14ac:dyDescent="0.45">
      <c r="B34" s="31" t="s">
        <v>64</v>
      </c>
      <c r="C34" s="32"/>
      <c r="D34" s="32"/>
      <c r="E34" s="32"/>
      <c r="F34" s="33">
        <f>IF(SUM($F$30:$F$33)=0,"",SUM($F$30:$F$33))</f>
        <v>469</v>
      </c>
    </row>
    <row r="35" spans="2:6" ht="4.05" customHeight="1" x14ac:dyDescent="0.45"/>
    <row r="36" spans="2:6" ht="24.4" customHeight="1" x14ac:dyDescent="0.45">
      <c r="B36" s="40" t="s">
        <v>65</v>
      </c>
      <c r="C36" s="36"/>
      <c r="D36" s="36"/>
      <c r="E36" s="36"/>
      <c r="F36" s="36"/>
    </row>
    <row r="37" spans="2:6" ht="24.4" customHeight="1" x14ac:dyDescent="0.45">
      <c r="B37" s="40" t="s">
        <v>66</v>
      </c>
      <c r="C37" s="36"/>
      <c r="D37" s="36"/>
      <c r="E37" s="36"/>
      <c r="F37" s="36"/>
    </row>
    <row r="38" spans="2:6" ht="6" customHeight="1" x14ac:dyDescent="0.45"/>
    <row r="39" spans="2:6" ht="16.05" customHeight="1" x14ac:dyDescent="0.45">
      <c r="B39" s="20" t="s">
        <v>67</v>
      </c>
      <c r="C39" s="3"/>
      <c r="D39" s="3"/>
      <c r="E39" s="3"/>
      <c r="F39" s="3"/>
    </row>
    <row r="40" spans="2:6" ht="32.450000000000003" customHeight="1" x14ac:dyDescent="0.45">
      <c r="B40" s="47" t="str">
        <f>IF($F$14="Barzahlung bei Anreise","Der Gesamtbetrag wird bei der Schlüsselübergabe in bar beglichen – Sie müssen vorab nichts überweisen.","Bitte überweisen Sie den Gesamtbetrag bis zum oben genannten Datum auf das folgende Konto. Als Verwendungszweck genügt die Rechnungsnummer.")</f>
        <v>Bitte überweisen Sie den Gesamtbetrag bis zum oben genannten Datum auf das folgende Konto. Als Verwendungszweck genügt die Rechnungsnummer.</v>
      </c>
      <c r="C40" s="36"/>
      <c r="D40" s="36"/>
      <c r="E40" s="36"/>
      <c r="F40" s="36"/>
    </row>
    <row r="41" spans="2:6" ht="14" customHeight="1" x14ac:dyDescent="0.45">
      <c r="B41" s="10" t="str">
        <f>IF($F$14="Barzahlung bei Anreise","","Kontoinhaber")</f>
        <v>Kontoinhaber</v>
      </c>
      <c r="C41" s="41" t="str">
        <f>IF($F$14="Barzahlung bei Anreise","",Anleitung!$C$8)</f>
        <v>Stefan Weber</v>
      </c>
      <c r="D41" s="36"/>
      <c r="E41" s="36"/>
      <c r="F41" s="36"/>
    </row>
    <row r="42" spans="2:6" ht="14" customHeight="1" x14ac:dyDescent="0.45">
      <c r="B42" s="10" t="str">
        <f>IF($F$14="Barzahlung bei Anreise","","IBAN")</f>
        <v>IBAN</v>
      </c>
      <c r="C42" s="44" t="str">
        <f>IF($F$14="Barzahlung bei Anreise","",Anleitung!$C$9)</f>
        <v>DE00 0000 0000 0000 0000 00</v>
      </c>
      <c r="D42" s="36"/>
      <c r="E42" s="36"/>
      <c r="F42" s="36"/>
    </row>
    <row r="43" spans="2:6" ht="14" customHeight="1" x14ac:dyDescent="0.45">
      <c r="B43" s="10" t="str">
        <f>IF($F$14="Barzahlung bei Anreise","","Bank")</f>
        <v>Bank</v>
      </c>
      <c r="C43" s="41" t="str">
        <f>IF($F$14="Barzahlung bei Anreise","",Anleitung!$C$11&amp;IF(Anleitung!$C$10="",""," · BIC "&amp;Anleitung!$C$10))</f>
        <v>Name der Bank</v>
      </c>
      <c r="D43" s="36"/>
      <c r="E43" s="36"/>
      <c r="F43" s="36"/>
    </row>
    <row r="44" spans="2:6" ht="14" customHeight="1" x14ac:dyDescent="0.45">
      <c r="B44" s="10" t="str">
        <f>IF($F$14="Barzahlung bei Anreise","","Verwendungszweck")</f>
        <v>Verwendungszweck</v>
      </c>
      <c r="C44" s="41" t="str">
        <f>IF($F$14="Barzahlung bei Anreise","",IF($F$12="","Rechnungsnummer","Rechnung "&amp;$F$12))</f>
        <v>Rechnung 2026-001</v>
      </c>
      <c r="D44" s="36"/>
      <c r="E44" s="36"/>
      <c r="F44" s="36"/>
    </row>
    <row r="45" spans="2:6" ht="6" customHeight="1" x14ac:dyDescent="0.45"/>
    <row r="46" spans="2:6" ht="35.65" customHeight="1" x14ac:dyDescent="0.45">
      <c r="B46" s="40" t="s">
        <v>68</v>
      </c>
      <c r="C46" s="36"/>
      <c r="D46" s="36"/>
      <c r="E46" s="36"/>
      <c r="F46" s="36"/>
    </row>
    <row r="47" spans="2:6" ht="8" customHeight="1" x14ac:dyDescent="0.45"/>
    <row r="48" spans="2:6" ht="15" customHeight="1" x14ac:dyDescent="0.45">
      <c r="B48" s="41" t="s">
        <v>69</v>
      </c>
      <c r="C48" s="36"/>
      <c r="D48" s="36"/>
      <c r="E48" s="36"/>
      <c r="F48" s="36"/>
    </row>
    <row r="49" spans="2:6" ht="10.050000000000001" customHeight="1" x14ac:dyDescent="0.45"/>
    <row r="50" spans="2:6" ht="15" customHeight="1" x14ac:dyDescent="0.45">
      <c r="B50" s="41" t="s">
        <v>70</v>
      </c>
      <c r="C50" s="36"/>
      <c r="D50" s="36"/>
      <c r="E50" s="36"/>
      <c r="F50" s="36"/>
    </row>
    <row r="51" spans="2:6" ht="14" customHeight="1" x14ac:dyDescent="0.45">
      <c r="B51" s="39" t="s">
        <v>71</v>
      </c>
      <c r="C51" s="36"/>
      <c r="D51" s="36"/>
      <c r="E51" s="36"/>
      <c r="F51" s="36"/>
    </row>
  </sheetData>
  <mergeCells count="23">
    <mergeCell ref="B1:F1"/>
    <mergeCell ref="C42:F42"/>
    <mergeCell ref="C5:F5"/>
    <mergeCell ref="C4:F4"/>
    <mergeCell ref="B10:F10"/>
    <mergeCell ref="B37:F37"/>
    <mergeCell ref="D26:F26"/>
    <mergeCell ref="C41:F41"/>
    <mergeCell ref="B40:F40"/>
    <mergeCell ref="B20:F20"/>
    <mergeCell ref="C8:F8"/>
    <mergeCell ref="C7:F7"/>
    <mergeCell ref="B31:F31"/>
    <mergeCell ref="B21:F21"/>
    <mergeCell ref="B51:F51"/>
    <mergeCell ref="B36:F36"/>
    <mergeCell ref="B50:F50"/>
    <mergeCell ref="C3:F3"/>
    <mergeCell ref="B48:F48"/>
    <mergeCell ref="C6:F6"/>
    <mergeCell ref="C44:F44"/>
    <mergeCell ref="C43:F43"/>
    <mergeCell ref="B46:F46"/>
  </mergeCells>
  <dataValidations count="2">
    <dataValidation type="list" errorTitle="Zahlungsweise" error="Bitte Überweisung oder Barzahlung bei Anreise wählen." sqref="F14" xr:uid="{00000000-0002-0000-0200-000000000000}">
      <formula1>"Überweisung,Barzahlung bei Anreise"</formula1>
    </dataValidation>
    <dataValidation type="whole" allowBlank="1" errorTitle="Personenzahl" error="Die Wohnung ist für höchstens 4 Personen ausgelegt." sqref="C27" xr:uid="{00000000-0002-0000-0200-000001000000}">
      <formula1>1</formula1>
      <formula2>4</formula2>
    </dataValidation>
  </dataValidations>
  <pageMargins left="0.7" right="0.6" top="0.6" bottom="0.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Anleitung</vt:lpstr>
      <vt:lpstr>Rechnung</vt:lpstr>
      <vt:lpstr>Beispiel</vt:lpstr>
      <vt:lpstr>Beispiel!Druckbereich</vt:lpstr>
      <vt:lpstr>Rechnung!Druckbereich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Rechnungsvorlage Ferienwohnung Zum Biebertal</dc:title>
  <dc:creator>Stefan Weber</dc:creator>
  <cp:lastModifiedBy>Timo Weber</cp:lastModifiedBy>
  <dcterms:created xsi:type="dcterms:W3CDTF">2026-08-17T14:35:57Z</dcterms:created>
  <dcterms:modified xsi:type="dcterms:W3CDTF">2026-08-17T14:38:26Z</dcterms:modified>
</cp:coreProperties>
</file>